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6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<sst xmlns="http://schemas.openxmlformats.org/spreadsheetml/2006/main" count="23" uniqueCount="22">
  <si>
    <t xml:space="preserve"> </t>
  </si>
  <si>
    <t>X position of sunspot centre</t>
  </si>
  <si>
    <t>Y position of sunspot centre</t>
  </si>
  <si>
    <t>Translated x position</t>
  </si>
  <si>
    <t>Translated y position</t>
  </si>
  <si>
    <t>Radius of sunspot from centre</t>
  </si>
  <si>
    <t>Angle from the centre</t>
  </si>
  <si>
    <t>Angular radius</t>
  </si>
  <si>
    <t>B_0</t>
  </si>
  <si>
    <t>Converted B_0</t>
  </si>
  <si>
    <t>Heliographic latitude</t>
  </si>
  <si>
    <t>Heliographic Longitude</t>
  </si>
  <si>
    <t>x</t>
  </si>
  <si>
    <t>y</t>
  </si>
  <si>
    <t>circumference</t>
  </si>
  <si>
    <t>CENTRE OF SUN</t>
  </si>
  <si>
    <t>AVERAGE of Heliographic Longitude</t>
  </si>
  <si>
    <t>sunspot</t>
  </si>
  <si>
    <t>date</t>
  </si>
  <si>
    <t>sunspots</t>
  </si>
  <si>
    <t>angular velocity</t>
  </si>
  <si>
    <t>average heliographic latitude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</si>
</sst>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1B6EF3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" xfId="0" applyFont="1" applyNumberFormat="1"/>
    <xf borderId="0" fillId="0" fontId="1" numFmtId="0" xfId="0" applyAlignment="1" applyFont="1">
      <alignment readingOrder="0"/>
    </xf>
    <xf borderId="0" fillId="0" fontId="1" numFmtId="16" xfId="0" applyFont="1" applyNumberFormat="1"/>
    <xf borderId="0" fillId="0" fontId="1" numFmtId="11" xfId="0" applyAlignment="1" applyFont="1" applyNumberFormat="1">
      <alignment readingOrder="0"/>
    </xf>
    <xf borderId="0" fillId="2" fontId="1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angular velocity and average heliographic latitude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 6'!$A$14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'Pivot Table 6'!$B$15:$D$15</c:f>
            </c:numRef>
          </c:xVal>
          <c:yVal>
            <c:numRef>
              <c:f>'Pivot Table 6'!$B$14:$D$14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763272"/>
        <c:axId val="1561305618"/>
      </c:scatterChart>
      <c:valAx>
        <c:axId val="6227632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sunspots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305618"/>
      </c:valAx>
      <c:valAx>
        <c:axId val="1561305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763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6'!$A$4:$A$8</c:f>
            </c:strRef>
          </c:cat>
          <c:val>
            <c:numRef>
              <c:f>'Pivot Table 6'!$C$4:$C$8</c:f>
              <c:numCache/>
            </c:numRef>
          </c:val>
          <c:smooth val="0"/>
        </c:ser>
        <c:axId val="284357259"/>
        <c:axId val="1930997724"/>
      </c:lineChart>
      <c:catAx>
        <c:axId val="284357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997724"/>
      </c:catAx>
      <c:valAx>
        <c:axId val="1930997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357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20</xdr:row>
      <xdr:rowOff>47625</xdr:rowOff>
    </xdr:from>
    <xdr:ext cx="61245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4:Q24" sheet="Sheet1"/>
  </cacheSource>
  <cacheFields>
    <cacheField name=" " numFmtId="0">
      <sharedItems containsString="0" containsBlank="1" containsNumber="1" containsInteger="1">
        <m/>
        <n v="3690.0"/>
        <n v="3693.0"/>
        <n v="3697.0"/>
      </sharedItems>
    </cacheField>
    <cacheField name=" 2" numFmtId="0">
      <sharedItems containsDate="1" containsString="0" containsBlank="1">
        <m/>
        <d v="2025-05-28T00:00:00Z"/>
        <d v="2025-05-29T00:00:00Z"/>
        <d v="2025-05-30T00:00:00Z"/>
        <d v="2025-05-31T00:00:00Z"/>
        <d v="2025-06-01T00:00:00Z"/>
      </sharedItems>
    </cacheField>
    <cacheField name="X position of sunspot centre" numFmtId="0">
      <sharedItems containsString="0" containsBlank="1" containsNumber="1">
        <m/>
        <n v="443.5"/>
        <n v="541.5"/>
        <n v="637.0"/>
        <n v="725.5"/>
        <n v="802.0"/>
        <n v="462.0"/>
        <n v="566.0"/>
        <n v="665.5"/>
        <n v="758.5"/>
        <n v="839.0"/>
        <n v="170.5"/>
        <n v="229.5"/>
        <n v="304.0"/>
        <n v="389.5"/>
        <n v="481.5"/>
      </sharedItems>
    </cacheField>
    <cacheField name="Y position of sunspot centre" numFmtId="0">
      <sharedItems containsString="0" containsBlank="1" containsNumber="1">
        <m/>
        <n v="383.0"/>
        <n v="383.5"/>
        <n v="385.0"/>
        <n v="386.0"/>
        <n v="388.0"/>
        <n v="467.5"/>
        <n v="468.0"/>
        <n v="469.5"/>
        <n v="470.0"/>
        <n v="467.0"/>
        <n v="658.5"/>
        <n v="658.0"/>
      </sharedItems>
    </cacheField>
    <cacheField name="Translated x position" numFmtId="0">
      <sharedItems containsString="0" containsBlank="1" containsNumber="1">
        <m/>
        <n v="-68.5"/>
        <n v="29.5"/>
        <n v="125.0"/>
        <n v="213.5"/>
        <n v="290.0"/>
        <n v="-50.0"/>
        <n v="54.0"/>
        <n v="153.5"/>
        <n v="246.5"/>
        <n v="327.0"/>
        <n v="-341.5"/>
        <n v="-282.5"/>
        <n v="-208.0"/>
        <n v="-122.5"/>
        <n v="-30.5"/>
      </sharedItems>
    </cacheField>
    <cacheField name="Translated y position" numFmtId="0">
      <sharedItems containsString="0" containsBlank="1" containsNumber="1">
        <m/>
        <n v="-129.0"/>
        <n v="-128.5"/>
        <n v="-127.0"/>
        <n v="-126.0"/>
        <n v="-124.0"/>
        <n v="-44.5"/>
        <n v="-44.0"/>
        <n v="-42.5"/>
        <n v="-42.0"/>
        <n v="-45.0"/>
        <n v="146.5"/>
        <n v="146.0"/>
      </sharedItems>
    </cacheField>
    <cacheField name="Radius of sunspot from centre" numFmtId="0">
      <sharedItems containsString="0" containsBlank="1" containsNumber="1">
        <m/>
        <n v="146.05906339560033"/>
        <n v="131.84270931682192"/>
        <n v="178.19652072922187"/>
        <n v="247.90774493750695"/>
        <n v="315.39816105995294"/>
        <n v="66.93466964137494"/>
        <n v="69.65629906907199"/>
        <n v="159.27491955734902"/>
        <n v="250.05249448865732"/>
        <n v="330.08180804158235"/>
        <n v="371.5972281920305"/>
        <n v="317.9972484157685"/>
        <n v="254.12595302329905"/>
        <n v="190.58397099441495"/>
        <n v="149.15176834352317"/>
      </sharedItems>
    </cacheField>
    <cacheField name="Angle from the centre" numFmtId="0">
      <sharedItems containsString="0" containsBlank="1" containsNumber="1">
        <m/>
        <n v="-2.0589413312309714"/>
        <n v="-1.3451344879156213"/>
        <n v="-0.7933345047049144"/>
        <n v="-0.53315570550763"/>
        <n v="-0.40405914701039236"/>
        <n v="-2.4143299655931028"/>
        <n v="-0.6837093116343713"/>
        <n v="-0.27010665561090336"/>
        <n v="-0.16876470373149788"/>
        <n v="-0.1367557117309045"/>
        <n v="2.736347510428957"/>
        <n v="2.66458437691007"/>
        <n v="2.5295771992641067"/>
        <n v="2.2688936766861643"/>
        <n v="1.776738687077389"/>
      </sharedItems>
    </cacheField>
    <cacheField name="Angular radius" numFmtId="0">
      <sharedItems containsString="0" containsBlank="1" containsNumber="1">
        <m/>
        <n v="0.32662544260006304"/>
        <n v="0.2938152139779697"/>
        <n v="0.4022551240959536"/>
        <n v="0.5762175348202473"/>
        <n v="0.7664321371367381"/>
        <n v="0.14754163308334092"/>
        <n v="0.1535881428472641"/>
        <n v="0.3574610868400892"/>
        <n v="0.5818588053569671"/>
        <n v="0.8124431205670921"/>
        <n v="0.9574097774353337"/>
        <n v="0.7744219530163694"/>
        <n v="0.5926320849653529"/>
        <n v="0.4320496998416586"/>
        <n v="0.3338110047196893"/>
      </sharedItems>
    </cacheField>
    <cacheField name="B_0" numFmtId="0">
      <sharedItems containsString="0" containsBlank="1" containsNumber="1">
        <m/>
        <n v="-1.02"/>
        <n v="-0.9"/>
        <n v="-0.78"/>
        <n v="-0.66"/>
        <n v="-0.54"/>
        <n v="-0.42"/>
      </sharedItems>
    </cacheField>
    <cacheField name="Converted B_0" numFmtId="0">
      <sharedItems containsString="0" containsBlank="1" containsNumber="1">
        <m/>
        <n v="-0.01780235837034216"/>
        <n v="-0.015707963267948967"/>
        <n v="-0.013613568165555772"/>
        <n v="-0.011519173063162575"/>
        <n v="-0.00942477796076938"/>
        <n v="-0.007330382858376184"/>
      </sharedItems>
    </cacheField>
    <cacheField name="Heliographic latitude" numFmtId="0">
      <sharedItems containsString="0" containsBlank="1" containsNumber="1">
        <m/>
        <n v="-0.16810131762332733"/>
        <n v="0.049778142836243475"/>
        <n v="0.2651672601040159"/>
        <n v="0.4774818002675818"/>
        <n v="0.6827131792450172"/>
        <n v="-0.12775155846970015"/>
        <n v="0.10324561502255906"/>
        <n v="0.3304055277379656"/>
        <n v="0.5610914563128376"/>
        <n v="0.7933084359678713"/>
        <n v="-0.8639643461798555"/>
        <n v="-0.6827319686511562"/>
        <n v="-0.4855442458593928"/>
        <n v="-0.2813908191956665"/>
        <n v="-0.07399162281475088"/>
      </sharedItems>
    </cacheField>
    <cacheField name="Heliographic Longitude" numFmtId="0">
      <sharedItems containsString="0" containsBlank="1" containsNumber="1">
        <m/>
        <n v="0.29153885353209175"/>
        <n v="0.28651759327020865"/>
        <n v="0.29330937178632666"/>
        <n v="0.3170849507225822"/>
        <n v="0.35912239860969736"/>
        <n v="0.09869737738772709"/>
        <n v="0.09730733923321094"/>
        <n v="0.09886422708046101"/>
        <n v="0.10924329650355895"/>
        <n v="0.14155932133431728"/>
        <n v="-0.5194443374616032"/>
        <n v="-0.42665097119103845"/>
        <n v="-0.3713036479658531"/>
        <n v="-0.3404486108701677"/>
        <n v="-0.327421309582438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rowGrandTotals="0" colGrandTotals="0" compact="0" compactData="0">
  <location ref="A1:E8" firstHeaderRow="0" firstDataRow="1" firstDataCol="1"/>
  <pivotFields>
    <pivotField name="sunspot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X position of sunspot cent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 position of sunspot cent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nslated x 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ranslated y 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dius of sunspot from cent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ngle from the cent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ngular radi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_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verted B_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eliographic 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eliographic Longitu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1"/>
  </rowFields>
  <colFields>
    <field x="0"/>
  </colFields>
  <dataFields>
    <dataField name="AVERAGE of Heliographic Longitude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6" width="8.71"/>
    <col customWidth="1" min="7" max="7" width="26.0"/>
    <col customWidth="1" min="8" max="8" width="26.57"/>
    <col customWidth="1" min="9" max="9" width="27.29"/>
    <col customWidth="1" min="10" max="10" width="24.29"/>
    <col customWidth="1" min="11" max="11" width="27.29"/>
    <col customWidth="1" min="12" max="12" width="21.43"/>
    <col customWidth="1" min="13" max="13" width="17.14"/>
    <col customWidth="1" min="14" max="14" width="8.71"/>
    <col customWidth="1" min="15" max="15" width="16.0"/>
    <col customWidth="1" min="16" max="16" width="19.71"/>
    <col customWidth="1" min="17" max="17" width="22.71"/>
    <col customWidth="1" min="18" max="26" width="8.71"/>
  </cols>
  <sheetData>
    <row r="4">
      <c r="E4" s="1" t="s">
        <v>0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</row>
    <row r="8">
      <c r="E8" s="1">
        <v>3690.0</v>
      </c>
      <c r="F8" s="2">
        <v>45805.0</v>
      </c>
      <c r="G8" s="1">
        <v>443.5</v>
      </c>
      <c r="H8" s="1">
        <v>383.0</v>
      </c>
      <c r="I8" s="1">
        <f t="shared" ref="I8:J8" si="1">(G8)-512</f>
        <v>-68.5</v>
      </c>
      <c r="J8" s="1">
        <f t="shared" si="1"/>
        <v>-129</v>
      </c>
      <c r="K8" s="1">
        <f t="shared" ref="K8:K12" si="3">SQRT((I8)^2+(J8)^2)</f>
        <v>146.0590634</v>
      </c>
      <c r="L8" s="1">
        <f t="shared" ref="L8:L12" si="4"> ATAN2(I8,J8)</f>
        <v>-2.058941331</v>
      </c>
      <c r="M8" s="1">
        <f t="shared" ref="M8:M12" si="5">ASIN(K8/453.233542)-(0.53*PI()/180)*(K8/(2*453.233542))</f>
        <v>0.3266254426</v>
      </c>
      <c r="N8" s="1">
        <v>-1.02</v>
      </c>
      <c r="O8" s="1">
        <f t="shared" ref="O8:O12" si="6">RADIANS(N8)</f>
        <v>-0.01780235837</v>
      </c>
      <c r="P8" s="1">
        <f t="shared" ref="P8:P12" si="7">ASIN(SIN(O8)*COS(M8)+COS(O8)*SIN(M8)*COS(L8))</f>
        <v>-0.1681013176</v>
      </c>
      <c r="Q8" s="1">
        <f t="shared" ref="Q8:Q12" si="8">ASIN((SIN(M8)*SIN(-L8))/COS(P8))</f>
        <v>0.2915388535</v>
      </c>
    </row>
    <row r="9">
      <c r="E9" s="1">
        <v>3690.0</v>
      </c>
      <c r="F9" s="2">
        <v>45806.0</v>
      </c>
      <c r="G9" s="1">
        <v>541.5</v>
      </c>
      <c r="H9" s="1">
        <v>383.5</v>
      </c>
      <c r="I9" s="1">
        <f t="shared" ref="I9:J9" si="2">(G9)-512</f>
        <v>29.5</v>
      </c>
      <c r="J9" s="1">
        <f t="shared" si="2"/>
        <v>-128.5</v>
      </c>
      <c r="K9" s="1">
        <f t="shared" si="3"/>
        <v>131.8427093</v>
      </c>
      <c r="L9" s="1">
        <f t="shared" si="4"/>
        <v>-1.345134488</v>
      </c>
      <c r="M9" s="1">
        <f t="shared" si="5"/>
        <v>0.293815214</v>
      </c>
      <c r="N9" s="1">
        <v>-0.9</v>
      </c>
      <c r="O9" s="1">
        <f t="shared" si="6"/>
        <v>-0.01570796327</v>
      </c>
      <c r="P9" s="1">
        <f t="shared" si="7"/>
        <v>0.04977814284</v>
      </c>
      <c r="Q9" s="1">
        <f t="shared" si="8"/>
        <v>0.2865175933</v>
      </c>
    </row>
    <row r="10">
      <c r="E10" s="1">
        <v>3690.0</v>
      </c>
      <c r="F10" s="2">
        <v>45807.0</v>
      </c>
      <c r="G10" s="1">
        <v>637.0</v>
      </c>
      <c r="H10" s="1">
        <v>385.0</v>
      </c>
      <c r="I10" s="1">
        <f t="shared" ref="I10:J10" si="9">(G10)-512</f>
        <v>125</v>
      </c>
      <c r="J10" s="1">
        <f t="shared" si="9"/>
        <v>-127</v>
      </c>
      <c r="K10" s="1">
        <f t="shared" si="3"/>
        <v>178.1965207</v>
      </c>
      <c r="L10" s="1">
        <f t="shared" si="4"/>
        <v>-0.7933345047</v>
      </c>
      <c r="M10" s="1">
        <f t="shared" si="5"/>
        <v>0.4022551241</v>
      </c>
      <c r="N10" s="1">
        <v>-0.78</v>
      </c>
      <c r="O10" s="1">
        <f t="shared" si="6"/>
        <v>-0.01361356817</v>
      </c>
      <c r="P10" s="1">
        <f t="shared" si="7"/>
        <v>0.2651672601</v>
      </c>
      <c r="Q10" s="1">
        <f t="shared" si="8"/>
        <v>0.2933093718</v>
      </c>
      <c r="U10" s="1">
        <f>average(Q8:Q12)</f>
        <v>0.3095146336</v>
      </c>
    </row>
    <row r="11">
      <c r="B11" s="1">
        <v>2024.0</v>
      </c>
      <c r="E11" s="1">
        <v>3690.0</v>
      </c>
      <c r="F11" s="2">
        <v>45808.0</v>
      </c>
      <c r="G11" s="1">
        <v>725.5</v>
      </c>
      <c r="H11" s="1">
        <v>386.0</v>
      </c>
      <c r="I11" s="1">
        <f t="shared" ref="I11:J11" si="10">(G11)-512</f>
        <v>213.5</v>
      </c>
      <c r="J11" s="1">
        <f t="shared" si="10"/>
        <v>-126</v>
      </c>
      <c r="K11" s="1">
        <f t="shared" si="3"/>
        <v>247.9077449</v>
      </c>
      <c r="L11" s="1">
        <f t="shared" si="4"/>
        <v>-0.5331557055</v>
      </c>
      <c r="M11" s="1">
        <f t="shared" si="5"/>
        <v>0.5762175348</v>
      </c>
      <c r="N11" s="1">
        <v>-0.66</v>
      </c>
      <c r="O11" s="1">
        <f t="shared" si="6"/>
        <v>-0.01151917306</v>
      </c>
      <c r="P11" s="1">
        <f t="shared" si="7"/>
        <v>0.4774818003</v>
      </c>
      <c r="Q11" s="1">
        <f t="shared" si="8"/>
        <v>0.3170849507</v>
      </c>
      <c r="U11" s="1">
        <f>average(Q14:Q18)</f>
        <v>0.1091343123</v>
      </c>
    </row>
    <row r="12">
      <c r="E12" s="1">
        <v>3690.0</v>
      </c>
      <c r="F12" s="2">
        <v>45809.0</v>
      </c>
      <c r="G12" s="1">
        <v>802.0</v>
      </c>
      <c r="H12" s="1">
        <v>388.0</v>
      </c>
      <c r="I12" s="1">
        <f t="shared" ref="I12:J12" si="11">(G12)-512</f>
        <v>290</v>
      </c>
      <c r="J12" s="1">
        <f t="shared" si="11"/>
        <v>-124</v>
      </c>
      <c r="K12" s="1">
        <f t="shared" si="3"/>
        <v>315.3981611</v>
      </c>
      <c r="L12" s="1">
        <f t="shared" si="4"/>
        <v>-0.404059147</v>
      </c>
      <c r="M12" s="1">
        <f t="shared" si="5"/>
        <v>0.7664321371</v>
      </c>
      <c r="N12" s="1">
        <v>-0.54</v>
      </c>
      <c r="O12" s="1">
        <f t="shared" si="6"/>
        <v>-0.009424777961</v>
      </c>
      <c r="P12" s="1">
        <f t="shared" si="7"/>
        <v>0.6827131792</v>
      </c>
      <c r="Q12" s="1">
        <f t="shared" si="8"/>
        <v>0.3591223986</v>
      </c>
      <c r="U12" s="1">
        <f>average(Q20:Q24)</f>
        <v>-0.3970537754</v>
      </c>
    </row>
    <row r="14">
      <c r="E14" s="1">
        <v>3693.0</v>
      </c>
      <c r="F14" s="2">
        <v>45805.0</v>
      </c>
      <c r="G14" s="1">
        <v>462.0</v>
      </c>
      <c r="H14" s="1">
        <v>467.5</v>
      </c>
      <c r="I14" s="1">
        <f t="shared" ref="I14:J14" si="12">(G14)-512</f>
        <v>-50</v>
      </c>
      <c r="J14" s="1">
        <f t="shared" si="12"/>
        <v>-44.5</v>
      </c>
      <c r="K14" s="1">
        <f t="shared" ref="K14:K18" si="14">SQRT((I14)^2+(J14)^2)</f>
        <v>66.93466964</v>
      </c>
      <c r="L14" s="1">
        <f t="shared" ref="L14:L18" si="15"> ATAN2(I14,J14)</f>
        <v>-2.414329966</v>
      </c>
      <c r="M14" s="1">
        <f t="shared" ref="M14:M18" si="16">ASIN(K14/453.233542)-(0.53*PI()/180)*(K14/(2*453.233542))</f>
        <v>0.1475416331</v>
      </c>
      <c r="N14" s="1">
        <v>-1.02</v>
      </c>
      <c r="O14" s="1">
        <f t="shared" ref="O14:O18" si="17">RADIANS(N14)</f>
        <v>-0.01780235837</v>
      </c>
      <c r="P14" s="1">
        <f t="shared" ref="P14:P18" si="18">ASIN(SIN(O14)*COS(M14)+COS(O14)*SIN(M14)*COS(L14))</f>
        <v>-0.1277515585</v>
      </c>
      <c r="Q14" s="1">
        <f t="shared" ref="Q14:Q18" si="19">ASIN((SIN(M14)*SIN(-L14))/COS(P14))</f>
        <v>0.09869737739</v>
      </c>
    </row>
    <row r="15">
      <c r="E15" s="1">
        <v>3693.0</v>
      </c>
      <c r="F15" s="2">
        <v>45806.0</v>
      </c>
      <c r="G15" s="1">
        <v>566.0</v>
      </c>
      <c r="H15" s="1">
        <v>468.0</v>
      </c>
      <c r="I15" s="1">
        <f t="shared" ref="I15:J15" si="13">(G15)-512</f>
        <v>54</v>
      </c>
      <c r="J15" s="1">
        <f t="shared" si="13"/>
        <v>-44</v>
      </c>
      <c r="K15" s="1">
        <f t="shared" si="14"/>
        <v>69.65629907</v>
      </c>
      <c r="L15" s="1">
        <f t="shared" si="15"/>
        <v>-0.6837093116</v>
      </c>
      <c r="M15" s="1">
        <f t="shared" si="16"/>
        <v>0.1535881428</v>
      </c>
      <c r="N15" s="1">
        <v>-0.9</v>
      </c>
      <c r="O15" s="1">
        <f t="shared" si="17"/>
        <v>-0.01570796327</v>
      </c>
      <c r="P15" s="1">
        <f t="shared" si="18"/>
        <v>0.103245615</v>
      </c>
      <c r="Q15" s="1">
        <f t="shared" si="19"/>
        <v>0.09730733923</v>
      </c>
    </row>
    <row r="16">
      <c r="E16" s="1">
        <v>3693.0</v>
      </c>
      <c r="F16" s="2">
        <v>45807.0</v>
      </c>
      <c r="G16" s="1">
        <v>665.5</v>
      </c>
      <c r="H16" s="1">
        <v>469.5</v>
      </c>
      <c r="I16" s="1">
        <f t="shared" ref="I16:J16" si="20">(G16)-512</f>
        <v>153.5</v>
      </c>
      <c r="J16" s="1">
        <f t="shared" si="20"/>
        <v>-42.5</v>
      </c>
      <c r="K16" s="1">
        <f t="shared" si="14"/>
        <v>159.2749196</v>
      </c>
      <c r="L16" s="1">
        <f t="shared" si="15"/>
        <v>-0.2701066556</v>
      </c>
      <c r="M16" s="1">
        <f t="shared" si="16"/>
        <v>0.3574610868</v>
      </c>
      <c r="N16" s="1">
        <v>-0.78</v>
      </c>
      <c r="O16" s="1">
        <f t="shared" si="17"/>
        <v>-0.01361356817</v>
      </c>
      <c r="P16" s="1">
        <f t="shared" si="18"/>
        <v>0.3304055277</v>
      </c>
      <c r="Q16" s="1">
        <f t="shared" si="19"/>
        <v>0.09886422708</v>
      </c>
    </row>
    <row r="17">
      <c r="E17" s="1">
        <v>3693.0</v>
      </c>
      <c r="F17" s="2">
        <v>45808.0</v>
      </c>
      <c r="G17" s="1">
        <v>758.5</v>
      </c>
      <c r="H17" s="1">
        <v>470.0</v>
      </c>
      <c r="I17" s="1">
        <f t="shared" ref="I17:J17" si="21">(G17)-512</f>
        <v>246.5</v>
      </c>
      <c r="J17" s="1">
        <f t="shared" si="21"/>
        <v>-42</v>
      </c>
      <c r="K17" s="1">
        <f t="shared" si="14"/>
        <v>250.0524945</v>
      </c>
      <c r="L17" s="1">
        <f t="shared" si="15"/>
        <v>-0.1687647037</v>
      </c>
      <c r="M17" s="1">
        <f t="shared" si="16"/>
        <v>0.5818588054</v>
      </c>
      <c r="N17" s="1">
        <v>-0.66</v>
      </c>
      <c r="O17" s="1">
        <f t="shared" si="17"/>
        <v>-0.01151917306</v>
      </c>
      <c r="P17" s="1">
        <f t="shared" si="18"/>
        <v>0.5610914563</v>
      </c>
      <c r="Q17" s="1">
        <f t="shared" si="19"/>
        <v>0.1092432965</v>
      </c>
    </row>
    <row r="18">
      <c r="E18" s="1">
        <v>3693.0</v>
      </c>
      <c r="F18" s="2">
        <v>45809.0</v>
      </c>
      <c r="G18" s="1">
        <v>839.0</v>
      </c>
      <c r="H18" s="1">
        <v>467.0</v>
      </c>
      <c r="I18" s="1">
        <f t="shared" ref="I18:J18" si="22">(G18)-512</f>
        <v>327</v>
      </c>
      <c r="J18" s="1">
        <f t="shared" si="22"/>
        <v>-45</v>
      </c>
      <c r="K18" s="1">
        <f t="shared" si="14"/>
        <v>330.081808</v>
      </c>
      <c r="L18" s="1">
        <f t="shared" si="15"/>
        <v>-0.1367557117</v>
      </c>
      <c r="M18" s="1">
        <f t="shared" si="16"/>
        <v>0.8124431206</v>
      </c>
      <c r="N18" s="1">
        <v>-0.54</v>
      </c>
      <c r="O18" s="1">
        <f t="shared" si="17"/>
        <v>-0.009424777961</v>
      </c>
      <c r="P18" s="1">
        <f t="shared" si="18"/>
        <v>0.793308436</v>
      </c>
      <c r="Q18" s="1">
        <f t="shared" si="19"/>
        <v>0.1415593213</v>
      </c>
    </row>
    <row r="20">
      <c r="E20" s="1">
        <v>3697.0</v>
      </c>
      <c r="F20" s="2">
        <v>45805.0</v>
      </c>
      <c r="G20" s="1">
        <v>170.5</v>
      </c>
      <c r="H20" s="1">
        <v>658.5</v>
      </c>
      <c r="I20" s="1">
        <f t="shared" ref="I20:J20" si="23">(G20)-512</f>
        <v>-341.5</v>
      </c>
      <c r="J20" s="1">
        <f t="shared" si="23"/>
        <v>146.5</v>
      </c>
      <c r="K20" s="1">
        <f t="shared" ref="K20:K24" si="25">SQRT((I20)^2+(J20)^2)</f>
        <v>371.5972282</v>
      </c>
      <c r="L20" s="1">
        <f t="shared" ref="L20:L24" si="26"> ATAN2(I20,J20)</f>
        <v>2.73634751</v>
      </c>
      <c r="M20" s="1">
        <f t="shared" ref="M20:M24" si="27">ASIN(K20/453.233542)-(0.53*PI()/180)*(K20/(2*453.233542))</f>
        <v>0.9574097774</v>
      </c>
      <c r="N20" s="1">
        <v>-0.9</v>
      </c>
      <c r="O20" s="1">
        <f t="shared" ref="O20:O24" si="28">RADIANS(N20)</f>
        <v>-0.01570796327</v>
      </c>
      <c r="P20" s="1">
        <f t="shared" ref="P20:P24" si="29">ASIN(SIN(O20)*COS(M20)+COS(O20)*SIN(M20)*COS(L20))</f>
        <v>-0.8639643462</v>
      </c>
      <c r="Q20" s="1">
        <f t="shared" ref="Q20:Q24" si="30">ASIN((SIN(M20)*SIN(-L20))/COS(P20))</f>
        <v>-0.5194443375</v>
      </c>
    </row>
    <row r="21" ht="15.75" customHeight="1">
      <c r="E21" s="1">
        <v>3697.0</v>
      </c>
      <c r="F21" s="2">
        <v>45806.0</v>
      </c>
      <c r="G21" s="1">
        <v>229.5</v>
      </c>
      <c r="H21" s="1">
        <v>658.0</v>
      </c>
      <c r="I21" s="1">
        <f t="shared" ref="I21:J21" si="24">(G21)-512</f>
        <v>-282.5</v>
      </c>
      <c r="J21" s="1">
        <f t="shared" si="24"/>
        <v>146</v>
      </c>
      <c r="K21" s="1">
        <f t="shared" si="25"/>
        <v>317.9972484</v>
      </c>
      <c r="L21" s="1">
        <f t="shared" si="26"/>
        <v>2.664584377</v>
      </c>
      <c r="M21" s="1">
        <f t="shared" si="27"/>
        <v>0.774421953</v>
      </c>
      <c r="N21" s="1">
        <v>-0.78</v>
      </c>
      <c r="O21" s="1">
        <f t="shared" si="28"/>
        <v>-0.01361356817</v>
      </c>
      <c r="P21" s="1">
        <f t="shared" si="29"/>
        <v>-0.6827319687</v>
      </c>
      <c r="Q21" s="1">
        <f t="shared" si="30"/>
        <v>-0.4266509712</v>
      </c>
    </row>
    <row r="22" ht="15.75" customHeight="1">
      <c r="E22" s="1">
        <v>3697.0</v>
      </c>
      <c r="F22" s="2">
        <v>45807.0</v>
      </c>
      <c r="G22" s="1">
        <v>304.0</v>
      </c>
      <c r="H22" s="1">
        <v>658.0</v>
      </c>
      <c r="I22" s="1">
        <f t="shared" ref="I22:J22" si="31">(G22)-512</f>
        <v>-208</v>
      </c>
      <c r="J22" s="1">
        <f t="shared" si="31"/>
        <v>146</v>
      </c>
      <c r="K22" s="1">
        <f t="shared" si="25"/>
        <v>254.125953</v>
      </c>
      <c r="L22" s="1">
        <f t="shared" si="26"/>
        <v>2.529577199</v>
      </c>
      <c r="M22" s="1">
        <f t="shared" si="27"/>
        <v>0.592632085</v>
      </c>
      <c r="N22" s="1">
        <v>-0.66</v>
      </c>
      <c r="O22" s="1">
        <f t="shared" si="28"/>
        <v>-0.01151917306</v>
      </c>
      <c r="P22" s="1">
        <f t="shared" si="29"/>
        <v>-0.4855442459</v>
      </c>
      <c r="Q22" s="1">
        <f t="shared" si="30"/>
        <v>-0.371303648</v>
      </c>
    </row>
    <row r="23" ht="15.75" customHeight="1">
      <c r="E23" s="1">
        <v>3697.0</v>
      </c>
      <c r="F23" s="2">
        <v>45808.0</v>
      </c>
      <c r="G23" s="1">
        <v>389.5</v>
      </c>
      <c r="H23" s="1">
        <v>658.0</v>
      </c>
      <c r="I23" s="1">
        <f t="shared" ref="I23:J23" si="32">(G23)-512</f>
        <v>-122.5</v>
      </c>
      <c r="J23" s="1">
        <f t="shared" si="32"/>
        <v>146</v>
      </c>
      <c r="K23" s="1">
        <f t="shared" si="25"/>
        <v>190.583971</v>
      </c>
      <c r="L23" s="1">
        <f t="shared" si="26"/>
        <v>2.268893677</v>
      </c>
      <c r="M23" s="1">
        <f t="shared" si="27"/>
        <v>0.4320496998</v>
      </c>
      <c r="N23" s="1">
        <v>-0.54</v>
      </c>
      <c r="O23" s="1">
        <f t="shared" si="28"/>
        <v>-0.009424777961</v>
      </c>
      <c r="P23" s="1">
        <f t="shared" si="29"/>
        <v>-0.2813908192</v>
      </c>
      <c r="Q23" s="1">
        <f t="shared" si="30"/>
        <v>-0.3404486109</v>
      </c>
    </row>
    <row r="24" ht="15.75" customHeight="1">
      <c r="E24" s="1">
        <v>3697.0</v>
      </c>
      <c r="F24" s="2">
        <v>45809.0</v>
      </c>
      <c r="G24" s="1">
        <v>481.5</v>
      </c>
      <c r="H24" s="1">
        <v>658.0</v>
      </c>
      <c r="I24" s="1">
        <f t="shared" ref="I24:J24" si="33">(G24)-512</f>
        <v>-30.5</v>
      </c>
      <c r="J24" s="1">
        <f t="shared" si="33"/>
        <v>146</v>
      </c>
      <c r="K24" s="1">
        <f t="shared" si="25"/>
        <v>149.1517683</v>
      </c>
      <c r="L24" s="1">
        <f t="shared" si="26"/>
        <v>1.776738687</v>
      </c>
      <c r="M24" s="1">
        <f t="shared" si="27"/>
        <v>0.3338110047</v>
      </c>
      <c r="N24" s="1">
        <v>-0.42</v>
      </c>
      <c r="O24" s="1">
        <f t="shared" si="28"/>
        <v>-0.007330382858</v>
      </c>
      <c r="P24" s="1">
        <f t="shared" si="29"/>
        <v>-0.07399162281</v>
      </c>
      <c r="Q24" s="1">
        <f t="shared" si="30"/>
        <v>-0.3274213096</v>
      </c>
    </row>
    <row r="25" ht="15.75" customHeight="1"/>
    <row r="26" ht="15.75" customHeight="1"/>
    <row r="27" ht="15.75" customHeight="1"/>
    <row r="28" ht="15.75" customHeight="1">
      <c r="D28" s="1" t="s">
        <v>12</v>
      </c>
      <c r="E28" s="1" t="s">
        <v>13</v>
      </c>
      <c r="F28" s="1" t="s">
        <v>14</v>
      </c>
      <c r="K28" s="3">
        <f>ATAN2(-68.5, -129)</f>
        <v>-2.058941331</v>
      </c>
    </row>
    <row r="29" ht="15.75" customHeight="1">
      <c r="B29" s="1" t="s">
        <v>15</v>
      </c>
      <c r="C29" s="1">
        <v>1.0</v>
      </c>
      <c r="D29" s="1">
        <v>512.499</v>
      </c>
      <c r="E29" s="1">
        <v>511.522</v>
      </c>
      <c r="F29" s="1">
        <v>2849.912</v>
      </c>
    </row>
    <row r="30" ht="15.75" customHeight="1">
      <c r="C30" s="1">
        <v>2.0</v>
      </c>
      <c r="D30" s="1">
        <v>512.025</v>
      </c>
      <c r="E30" s="1">
        <v>511.951</v>
      </c>
      <c r="F30" s="1">
        <v>2849.912</v>
      </c>
    </row>
    <row r="31" ht="15.75" customHeight="1">
      <c r="C31" s="1">
        <v>3.0</v>
      </c>
      <c r="D31" s="1">
        <v>512.017</v>
      </c>
      <c r="E31" s="1">
        <v>511.997</v>
      </c>
      <c r="F31" s="1">
        <v>2843.427</v>
      </c>
    </row>
    <row r="32" ht="15.75" customHeight="1"/>
    <row r="33" ht="15.75" customHeight="1"/>
    <row r="34" ht="15.75" customHeight="1">
      <c r="D34" s="1">
        <f t="shared" ref="D34:E34" si="34">AVERAGE(D29, D30, D31)</f>
        <v>512.1803333</v>
      </c>
      <c r="E34" s="1">
        <f t="shared" si="34"/>
        <v>511.8233333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13">
      <c r="A13" s="3" t="s">
        <v>19</v>
      </c>
      <c r="B13" s="3">
        <v>3690.0</v>
      </c>
      <c r="C13" s="3">
        <v>3693.0</v>
      </c>
      <c r="D13" s="3">
        <v>3697.0</v>
      </c>
    </row>
    <row r="14">
      <c r="A14" s="3" t="s">
        <v>20</v>
      </c>
      <c r="B14" s="3">
        <v>0.0166</v>
      </c>
      <c r="C14" s="5">
        <v>0.00977</v>
      </c>
      <c r="D14" s="3">
        <v>0.047</v>
      </c>
    </row>
    <row r="15">
      <c r="A15" s="3" t="s">
        <v>21</v>
      </c>
      <c r="B15" s="3">
        <v>0.3095146336</v>
      </c>
      <c r="C15" s="6">
        <v>0.1091343123</v>
      </c>
      <c r="D15" s="6">
        <v>0.3970537754</v>
      </c>
    </row>
    <row r="17">
      <c r="C17" s="7"/>
    </row>
  </sheetData>
  <drawing r:id="rId2"/>
</worksheet>
</file>