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hmm563\w2k\y2 labs\Sem 2\Lab 3 - Observing Sunspots\"/>
    </mc:Choice>
  </mc:AlternateContent>
  <xr:revisionPtr revIDLastSave="0" documentId="8_{8B2C07D9-03B8-4900-8A6F-1EE88CCAF79F}" xr6:coauthVersionLast="47" xr6:coauthVersionMax="47" xr10:uidLastSave="{00000000-0000-0000-0000-000000000000}"/>
  <bookViews>
    <workbookView xWindow="7320" yWindow="60" windowWidth="21600" windowHeight="11295" xr2:uid="{29D311A6-5D33-46B3-A6E1-1D0E1B112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1" l="1"/>
  <c r="Q10" i="1"/>
  <c r="Q11" i="1"/>
  <c r="Q12" i="1"/>
  <c r="Q14" i="1"/>
  <c r="Q15" i="1"/>
  <c r="Q16" i="1"/>
  <c r="Q17" i="1"/>
  <c r="Q18" i="1"/>
  <c r="Q20" i="1"/>
  <c r="Q21" i="1"/>
  <c r="Q22" i="1"/>
  <c r="Q23" i="1"/>
  <c r="Q24" i="1"/>
  <c r="Q8" i="1"/>
  <c r="L9" i="1"/>
  <c r="L10" i="1"/>
  <c r="L11" i="1"/>
  <c r="L12" i="1"/>
  <c r="L14" i="1"/>
  <c r="L15" i="1"/>
  <c r="P15" i="1" s="1"/>
  <c r="L16" i="1"/>
  <c r="L17" i="1"/>
  <c r="P17" i="1" s="1"/>
  <c r="L18" i="1"/>
  <c r="L20" i="1"/>
  <c r="L21" i="1"/>
  <c r="L22" i="1"/>
  <c r="L23" i="1"/>
  <c r="L24" i="1"/>
  <c r="L8" i="1"/>
  <c r="I8" i="1"/>
  <c r="P11" i="1"/>
  <c r="P12" i="1"/>
  <c r="P14" i="1"/>
  <c r="P24" i="1"/>
  <c r="O9" i="1"/>
  <c r="O10" i="1"/>
  <c r="P10" i="1" s="1"/>
  <c r="O11" i="1"/>
  <c r="O12" i="1"/>
  <c r="O14" i="1"/>
  <c r="O15" i="1"/>
  <c r="O16" i="1"/>
  <c r="O17" i="1"/>
  <c r="O18" i="1"/>
  <c r="O20" i="1"/>
  <c r="O21" i="1"/>
  <c r="P21" i="1" s="1"/>
  <c r="O22" i="1"/>
  <c r="P22" i="1" s="1"/>
  <c r="O23" i="1"/>
  <c r="P23" i="1" s="1"/>
  <c r="O24" i="1"/>
  <c r="O8" i="1"/>
  <c r="M9" i="1"/>
  <c r="M10" i="1"/>
  <c r="M11" i="1"/>
  <c r="M12" i="1"/>
  <c r="M14" i="1"/>
  <c r="M15" i="1"/>
  <c r="M16" i="1"/>
  <c r="M17" i="1"/>
  <c r="M18" i="1"/>
  <c r="M20" i="1"/>
  <c r="M21" i="1"/>
  <c r="M22" i="1"/>
  <c r="M23" i="1"/>
  <c r="M24" i="1"/>
  <c r="J24" i="1"/>
  <c r="J23" i="1"/>
  <c r="J22" i="1"/>
  <c r="K22" i="1" s="1"/>
  <c r="J21" i="1"/>
  <c r="J20" i="1"/>
  <c r="J18" i="1"/>
  <c r="J17" i="1"/>
  <c r="K17" i="1" s="1"/>
  <c r="J16" i="1"/>
  <c r="J15" i="1"/>
  <c r="J14" i="1"/>
  <c r="J12" i="1"/>
  <c r="J11" i="1"/>
  <c r="J10" i="1"/>
  <c r="J9" i="1"/>
  <c r="J8" i="1"/>
  <c r="I24" i="1"/>
  <c r="I23" i="1"/>
  <c r="I22" i="1"/>
  <c r="I21" i="1"/>
  <c r="I20" i="1"/>
  <c r="I18" i="1"/>
  <c r="I17" i="1"/>
  <c r="I16" i="1"/>
  <c r="I15" i="1"/>
  <c r="I14" i="1"/>
  <c r="I12" i="1"/>
  <c r="I11" i="1"/>
  <c r="I10" i="1"/>
  <c r="I9" i="1"/>
  <c r="K12" i="1"/>
  <c r="K8" i="1"/>
  <c r="M8" i="1" s="1"/>
  <c r="K9" i="1"/>
  <c r="K10" i="1"/>
  <c r="K11" i="1"/>
  <c r="K14" i="1"/>
  <c r="K15" i="1"/>
  <c r="K16" i="1"/>
  <c r="K18" i="1"/>
  <c r="K20" i="1"/>
  <c r="K21" i="1"/>
  <c r="K23" i="1"/>
  <c r="K24" i="1"/>
  <c r="E34" i="1"/>
  <c r="D34" i="1"/>
  <c r="P18" i="1" l="1"/>
  <c r="P20" i="1"/>
  <c r="P16" i="1"/>
  <c r="P9" i="1"/>
  <c r="P8" i="1"/>
</calcChain>
</file>

<file path=xl/sharedStrings.xml><?xml version="1.0" encoding="utf-8"?>
<sst xmlns="http://schemas.openxmlformats.org/spreadsheetml/2006/main" count="18" uniqueCount="17">
  <si>
    <t>X position of sunspot centre</t>
  </si>
  <si>
    <t>Y position of sunspot centre</t>
  </si>
  <si>
    <t>x</t>
  </si>
  <si>
    <t>y</t>
  </si>
  <si>
    <t>circumference</t>
  </si>
  <si>
    <t>Radius of sunspot from centre</t>
  </si>
  <si>
    <t>SUNSPOT 3696</t>
  </si>
  <si>
    <t>CENTRE OF SUN</t>
  </si>
  <si>
    <t>SUNSPOT</t>
  </si>
  <si>
    <t>Angle from the centre</t>
  </si>
  <si>
    <t>Angular radius</t>
  </si>
  <si>
    <t>Heliographic latitude</t>
  </si>
  <si>
    <t>Translated x position</t>
  </si>
  <si>
    <t>Translated y position</t>
  </si>
  <si>
    <t>B_0</t>
  </si>
  <si>
    <t>Converted B_0</t>
  </si>
  <si>
    <t>Heliographic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</si>
</sst>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9510-58D8-4B64-AE1A-799AAFF1FE5F}">
  <dimension ref="B4:Q34"/>
  <sheetViews>
    <sheetView tabSelected="1" topLeftCell="L1" workbookViewId="0">
      <selection activeCell="S12" sqref="S12"/>
    </sheetView>
  </sheetViews>
  <sheetFormatPr defaultRowHeight="15" x14ac:dyDescent="0.25"/>
  <cols>
    <col min="2" max="2" width="14.7109375" customWidth="1"/>
    <col min="7" max="7" width="26" customWidth="1"/>
    <col min="8" max="8" width="26.5703125" customWidth="1"/>
    <col min="9" max="9" width="27.28515625" customWidth="1"/>
    <col min="10" max="10" width="24.28515625" customWidth="1"/>
    <col min="11" max="11" width="27.28515625" customWidth="1"/>
    <col min="12" max="12" width="21.42578125" customWidth="1"/>
    <col min="13" max="13" width="17.140625" customWidth="1"/>
    <col min="15" max="15" width="16" customWidth="1"/>
    <col min="16" max="16" width="19.7109375" customWidth="1"/>
    <col min="17" max="17" width="22.7109375" customWidth="1"/>
    <col min="18" max="18" width="12.7109375" customWidth="1"/>
  </cols>
  <sheetData>
    <row r="4" spans="2:17" x14ac:dyDescent="0.25">
      <c r="G4" t="s">
        <v>0</v>
      </c>
      <c r="H4" t="s">
        <v>1</v>
      </c>
      <c r="I4" t="s">
        <v>12</v>
      </c>
      <c r="J4" t="s">
        <v>13</v>
      </c>
      <c r="K4" t="s">
        <v>5</v>
      </c>
      <c r="L4" t="s">
        <v>9</v>
      </c>
      <c r="M4" t="s">
        <v>10</v>
      </c>
      <c r="N4" t="s">
        <v>14</v>
      </c>
      <c r="O4" t="s">
        <v>15</v>
      </c>
      <c r="P4" t="s">
        <v>11</v>
      </c>
      <c r="Q4" t="s">
        <v>16</v>
      </c>
    </row>
    <row r="7" spans="2:17" x14ac:dyDescent="0.25">
      <c r="D7" t="s">
        <v>6</v>
      </c>
      <c r="E7">
        <v>3690</v>
      </c>
    </row>
    <row r="8" spans="2:17" x14ac:dyDescent="0.25">
      <c r="F8" s="1">
        <v>45805</v>
      </c>
      <c r="G8">
        <v>443.5</v>
      </c>
      <c r="H8">
        <v>383</v>
      </c>
      <c r="I8">
        <f t="shared" ref="I8:J12" si="0">(G8)-512</f>
        <v>-68.5</v>
      </c>
      <c r="J8">
        <f t="shared" si="0"/>
        <v>-129</v>
      </c>
      <c r="K8">
        <f>SQRT((I8)^2+(J8)^2)</f>
        <v>146.05906339560033</v>
      </c>
      <c r="L8">
        <f>ATAN2(J8, I8)</f>
        <v>-2.6534476491537182</v>
      </c>
      <c r="M8">
        <f>ASIN(K8/453.233542)-(0.53*PI()/180)*(K8/(2*453.233542))</f>
        <v>0.32662544260006304</v>
      </c>
      <c r="N8">
        <v>-1.02</v>
      </c>
      <c r="O8">
        <f>RADIANS(N8)</f>
        <v>-1.780235837034216E-2</v>
      </c>
      <c r="P8">
        <f>ASIN(SIN(O8)*COS(M8)+COS(O8)*SIN(M8)*COS(L8))</f>
        <v>-0.30489219383874633</v>
      </c>
      <c r="Q8">
        <f>ASIN((SIN(M8)*SIN(-L8))/COS(P8))</f>
        <v>0.15841154615667591</v>
      </c>
    </row>
    <row r="9" spans="2:17" x14ac:dyDescent="0.25">
      <c r="F9" s="1">
        <v>45806</v>
      </c>
      <c r="G9">
        <v>541.5</v>
      </c>
      <c r="H9">
        <v>383.5</v>
      </c>
      <c r="I9">
        <f t="shared" si="0"/>
        <v>29.5</v>
      </c>
      <c r="J9">
        <f t="shared" si="0"/>
        <v>-128.5</v>
      </c>
      <c r="K9">
        <f t="shared" ref="K9:K24" si="1">SQRT((I9)^2+(J9)^2)</f>
        <v>131.84270931682192</v>
      </c>
      <c r="L9">
        <f t="shared" ref="L9:L24" si="2">ATAN2(J9, I9)</f>
        <v>2.9159308147105181</v>
      </c>
      <c r="M9">
        <f t="shared" ref="M9:M24" si="3">ASIN(K9/453.233542)-(0.53*PI()/180)*(K9/(2*453.233542))</f>
        <v>0.29381521397796972</v>
      </c>
      <c r="N9">
        <v>-0.9</v>
      </c>
      <c r="O9">
        <f t="shared" ref="O9:O24" si="4">RADIANS(N9)</f>
        <v>-1.5707963267948967E-2</v>
      </c>
      <c r="P9">
        <f t="shared" ref="P9:P24" si="5">ASIN(SIN(O9)*COS(M9)+COS(O9)*SIN(M9)*COS(L9))</f>
        <v>-0.30182458798882067</v>
      </c>
      <c r="Q9">
        <f t="shared" ref="Q9:Q24" si="6">ASIN((SIN(M9)*SIN(-L9))/COS(P9))</f>
        <v>-6.7919897156587666E-2</v>
      </c>
    </row>
    <row r="10" spans="2:17" x14ac:dyDescent="0.25">
      <c r="F10" s="1">
        <v>45807</v>
      </c>
      <c r="G10">
        <v>637</v>
      </c>
      <c r="H10">
        <v>385</v>
      </c>
      <c r="I10">
        <f t="shared" si="0"/>
        <v>125</v>
      </c>
      <c r="J10">
        <f t="shared" si="0"/>
        <v>-127</v>
      </c>
      <c r="K10">
        <f t="shared" si="1"/>
        <v>178.19652072922187</v>
      </c>
      <c r="L10">
        <f t="shared" si="2"/>
        <v>2.3641308314998106</v>
      </c>
      <c r="M10">
        <f t="shared" si="3"/>
        <v>0.40225512409595365</v>
      </c>
      <c r="N10">
        <v>-0.78</v>
      </c>
      <c r="O10">
        <f t="shared" si="4"/>
        <v>-1.3613568165555772E-2</v>
      </c>
      <c r="P10">
        <f t="shared" si="5"/>
        <v>-0.29581269977346702</v>
      </c>
      <c r="Q10">
        <f t="shared" si="6"/>
        <v>-0.29119005803150949</v>
      </c>
    </row>
    <row r="11" spans="2:17" x14ac:dyDescent="0.25">
      <c r="B11">
        <v>2024</v>
      </c>
      <c r="F11" s="1">
        <v>45808</v>
      </c>
      <c r="G11">
        <v>725.5</v>
      </c>
      <c r="H11">
        <v>386</v>
      </c>
      <c r="I11">
        <f t="shared" si="0"/>
        <v>213.5</v>
      </c>
      <c r="J11">
        <f t="shared" si="0"/>
        <v>-126</v>
      </c>
      <c r="K11">
        <f t="shared" si="1"/>
        <v>247.90774493750695</v>
      </c>
      <c r="L11">
        <f t="shared" si="2"/>
        <v>2.1039520323025265</v>
      </c>
      <c r="M11">
        <f t="shared" si="3"/>
        <v>0.57621753482024729</v>
      </c>
      <c r="N11">
        <v>-0.66</v>
      </c>
      <c r="O11">
        <f t="shared" si="4"/>
        <v>-1.1519173063162575E-2</v>
      </c>
      <c r="P11">
        <f t="shared" si="5"/>
        <v>-0.29064023057471972</v>
      </c>
      <c r="Q11">
        <f t="shared" si="6"/>
        <v>-0.5118317048120381</v>
      </c>
    </row>
    <row r="12" spans="2:17" x14ac:dyDescent="0.25">
      <c r="F12" s="1">
        <v>45809</v>
      </c>
      <c r="G12">
        <v>802</v>
      </c>
      <c r="H12">
        <v>388</v>
      </c>
      <c r="I12">
        <f t="shared" si="0"/>
        <v>290</v>
      </c>
      <c r="J12">
        <f t="shared" si="0"/>
        <v>-124</v>
      </c>
      <c r="K12">
        <f t="shared" si="1"/>
        <v>315.39816105995294</v>
      </c>
      <c r="L12">
        <f t="shared" si="2"/>
        <v>1.9748554738052888</v>
      </c>
      <c r="M12">
        <f t="shared" si="3"/>
        <v>0.76643213713673808</v>
      </c>
      <c r="N12">
        <v>-0.54</v>
      </c>
      <c r="O12">
        <f t="shared" si="4"/>
        <v>-9.4247779607693795E-3</v>
      </c>
      <c r="P12">
        <f t="shared" si="5"/>
        <v>-0.28322830433987628</v>
      </c>
      <c r="Q12">
        <f t="shared" si="6"/>
        <v>-0.72639670141569213</v>
      </c>
    </row>
    <row r="13" spans="2:17" x14ac:dyDescent="0.25">
      <c r="D13" t="s">
        <v>8</v>
      </c>
      <c r="E13">
        <v>3693</v>
      </c>
    </row>
    <row r="14" spans="2:17" x14ac:dyDescent="0.25">
      <c r="F14" s="1">
        <v>45805</v>
      </c>
      <c r="G14">
        <v>462</v>
      </c>
      <c r="H14">
        <v>467.5</v>
      </c>
      <c r="I14">
        <f t="shared" ref="I14:J18" si="7">(G14)-512</f>
        <v>-50</v>
      </c>
      <c r="J14">
        <f t="shared" si="7"/>
        <v>-44.5</v>
      </c>
      <c r="K14">
        <f t="shared" si="1"/>
        <v>66.934669641374938</v>
      </c>
      <c r="L14">
        <f t="shared" si="2"/>
        <v>-2.2980590147915869</v>
      </c>
      <c r="M14">
        <f t="shared" si="3"/>
        <v>0.1475416330833409</v>
      </c>
      <c r="N14">
        <v>-1.02</v>
      </c>
      <c r="O14">
        <f t="shared" si="4"/>
        <v>-1.780235837034216E-2</v>
      </c>
      <c r="P14">
        <f t="shared" si="5"/>
        <v>-0.11558393938537322</v>
      </c>
      <c r="Q14">
        <f t="shared" si="6"/>
        <v>0.11077781019577514</v>
      </c>
    </row>
    <row r="15" spans="2:17" x14ac:dyDescent="0.25">
      <c r="F15" s="1">
        <v>45806</v>
      </c>
      <c r="G15">
        <v>566</v>
      </c>
      <c r="H15">
        <v>468</v>
      </c>
      <c r="I15">
        <f t="shared" si="7"/>
        <v>54</v>
      </c>
      <c r="J15">
        <f t="shared" si="7"/>
        <v>-44</v>
      </c>
      <c r="K15">
        <f t="shared" si="1"/>
        <v>69.656299069071991</v>
      </c>
      <c r="L15">
        <f t="shared" si="2"/>
        <v>2.2545056384292677</v>
      </c>
      <c r="M15">
        <f t="shared" si="3"/>
        <v>0.15358814284726408</v>
      </c>
      <c r="N15">
        <v>-0.9</v>
      </c>
      <c r="O15">
        <f t="shared" si="4"/>
        <v>-1.5707963267948967E-2</v>
      </c>
      <c r="P15">
        <f>ASIN(SIN(O15)*COS(M15)+COS(O15)*SIN(M15)*COS(L15))</f>
        <v>-0.1123834110167615</v>
      </c>
      <c r="Q15">
        <f t="shared" si="6"/>
        <v>-0.11963744740042331</v>
      </c>
    </row>
    <row r="16" spans="2:17" x14ac:dyDescent="0.25">
      <c r="F16" s="1">
        <v>45807</v>
      </c>
      <c r="G16">
        <v>665.5</v>
      </c>
      <c r="H16">
        <v>469.5</v>
      </c>
      <c r="I16">
        <f t="shared" si="7"/>
        <v>153.5</v>
      </c>
      <c r="J16">
        <f t="shared" si="7"/>
        <v>-42.5</v>
      </c>
      <c r="K16">
        <f t="shared" si="1"/>
        <v>159.27491955734902</v>
      </c>
      <c r="L16">
        <f t="shared" si="2"/>
        <v>1.8409029824057999</v>
      </c>
      <c r="M16">
        <f t="shared" si="3"/>
        <v>0.35746108684008926</v>
      </c>
      <c r="N16">
        <v>-0.78</v>
      </c>
      <c r="O16">
        <f t="shared" si="4"/>
        <v>-1.3613568165555772E-2</v>
      </c>
      <c r="P16">
        <f t="shared" si="5"/>
        <v>-0.10630859225911264</v>
      </c>
      <c r="Q16">
        <f t="shared" si="6"/>
        <v>-0.34598666728147243</v>
      </c>
    </row>
    <row r="17" spans="2:17" x14ac:dyDescent="0.25">
      <c r="F17" s="1">
        <v>45808</v>
      </c>
      <c r="G17">
        <v>758.5</v>
      </c>
      <c r="H17">
        <v>470</v>
      </c>
      <c r="I17">
        <f t="shared" si="7"/>
        <v>246.5</v>
      </c>
      <c r="J17">
        <f t="shared" si="7"/>
        <v>-42</v>
      </c>
      <c r="K17">
        <f t="shared" si="1"/>
        <v>250.05249448865732</v>
      </c>
      <c r="L17">
        <f t="shared" si="2"/>
        <v>1.7395610305263944</v>
      </c>
      <c r="M17">
        <f t="shared" si="3"/>
        <v>0.5818588053569671</v>
      </c>
      <c r="N17">
        <v>-0.66</v>
      </c>
      <c r="O17">
        <f t="shared" si="4"/>
        <v>-1.1519173063162575E-2</v>
      </c>
      <c r="P17">
        <f t="shared" si="5"/>
        <v>-0.10210427774394518</v>
      </c>
      <c r="Q17">
        <f t="shared" si="6"/>
        <v>-0.57591966165314323</v>
      </c>
    </row>
    <row r="18" spans="2:17" x14ac:dyDescent="0.25">
      <c r="F18" s="1">
        <v>45809</v>
      </c>
      <c r="G18">
        <v>839</v>
      </c>
      <c r="H18">
        <v>467</v>
      </c>
      <c r="I18">
        <f t="shared" si="7"/>
        <v>327</v>
      </c>
      <c r="J18">
        <f t="shared" si="7"/>
        <v>-45</v>
      </c>
      <c r="K18">
        <f t="shared" si="1"/>
        <v>330.08180804158235</v>
      </c>
      <c r="L18">
        <f t="shared" si="2"/>
        <v>1.707552038525801</v>
      </c>
      <c r="M18">
        <f t="shared" si="3"/>
        <v>0.81244312056709211</v>
      </c>
      <c r="N18">
        <v>-0.54</v>
      </c>
      <c r="O18">
        <f t="shared" si="4"/>
        <v>-9.4247779607693795E-3</v>
      </c>
      <c r="P18">
        <f t="shared" si="5"/>
        <v>-0.10564489701301595</v>
      </c>
      <c r="Q18">
        <f t="shared" si="6"/>
        <v>-0.80845881082173165</v>
      </c>
    </row>
    <row r="19" spans="2:17" x14ac:dyDescent="0.25">
      <c r="D19" t="s">
        <v>8</v>
      </c>
      <c r="E19">
        <v>3697</v>
      </c>
    </row>
    <row r="20" spans="2:17" x14ac:dyDescent="0.25">
      <c r="F20" s="1">
        <v>45806</v>
      </c>
      <c r="G20">
        <v>170.5</v>
      </c>
      <c r="H20">
        <v>658.5</v>
      </c>
      <c r="I20">
        <f t="shared" ref="I20:J24" si="8">(G20)-512</f>
        <v>-341.5</v>
      </c>
      <c r="J20">
        <f t="shared" si="8"/>
        <v>146.5</v>
      </c>
      <c r="K20">
        <f t="shared" si="1"/>
        <v>371.59722819203051</v>
      </c>
      <c r="L20">
        <f t="shared" si="2"/>
        <v>-1.1655511836340606</v>
      </c>
      <c r="M20">
        <f t="shared" si="3"/>
        <v>0.95740977743533373</v>
      </c>
      <c r="N20">
        <v>-0.9</v>
      </c>
      <c r="O20">
        <f t="shared" si="4"/>
        <v>-1.5707963267948967E-2</v>
      </c>
      <c r="P20">
        <f>ASIN(SIN(O20)*COS(M20)+COS(O20)*SIN(M20)*COS(L20))</f>
        <v>0.31865876496527584</v>
      </c>
      <c r="Q20">
        <f t="shared" si="6"/>
        <v>0.91295097405715731</v>
      </c>
    </row>
    <row r="21" spans="2:17" x14ac:dyDescent="0.25">
      <c r="F21" s="1">
        <v>45807</v>
      </c>
      <c r="G21">
        <v>229.5</v>
      </c>
      <c r="H21">
        <v>658</v>
      </c>
      <c r="I21">
        <f t="shared" si="8"/>
        <v>-282.5</v>
      </c>
      <c r="J21">
        <f t="shared" si="8"/>
        <v>146</v>
      </c>
      <c r="K21">
        <f t="shared" si="1"/>
        <v>317.99724841576852</v>
      </c>
      <c r="L21">
        <f t="shared" si="2"/>
        <v>-1.0937880501151731</v>
      </c>
      <c r="M21">
        <f t="shared" si="3"/>
        <v>0.77442195301636951</v>
      </c>
      <c r="N21">
        <v>-0.78</v>
      </c>
      <c r="O21">
        <f t="shared" si="4"/>
        <v>-1.3613568165555772E-2</v>
      </c>
      <c r="P21">
        <f t="shared" si="5"/>
        <v>0.31656663392687845</v>
      </c>
      <c r="Q21">
        <f t="shared" si="6"/>
        <v>0.71249682083826082</v>
      </c>
    </row>
    <row r="22" spans="2:17" x14ac:dyDescent="0.25">
      <c r="F22" s="1">
        <v>45808</v>
      </c>
      <c r="G22">
        <v>304</v>
      </c>
      <c r="H22">
        <v>658</v>
      </c>
      <c r="I22">
        <f t="shared" si="8"/>
        <v>-208</v>
      </c>
      <c r="J22">
        <f t="shared" si="8"/>
        <v>146</v>
      </c>
      <c r="K22">
        <f t="shared" si="1"/>
        <v>254.12595302329905</v>
      </c>
      <c r="L22">
        <f t="shared" si="2"/>
        <v>-0.95878087246921018</v>
      </c>
      <c r="M22">
        <f t="shared" si="3"/>
        <v>0.59263208496535291</v>
      </c>
      <c r="N22">
        <v>-0.66</v>
      </c>
      <c r="O22">
        <f t="shared" si="4"/>
        <v>-1.1519173063162575E-2</v>
      </c>
      <c r="P22">
        <f t="shared" si="5"/>
        <v>0.31658075930049534</v>
      </c>
      <c r="Q22">
        <f t="shared" si="6"/>
        <v>0.50187724478993934</v>
      </c>
    </row>
    <row r="23" spans="2:17" x14ac:dyDescent="0.25">
      <c r="F23" s="1">
        <v>45809</v>
      </c>
      <c r="G23">
        <v>389.5</v>
      </c>
      <c r="H23">
        <v>658</v>
      </c>
      <c r="I23">
        <f t="shared" si="8"/>
        <v>-122.5</v>
      </c>
      <c r="J23">
        <f t="shared" si="8"/>
        <v>146</v>
      </c>
      <c r="K23">
        <f t="shared" si="1"/>
        <v>190.58397099441495</v>
      </c>
      <c r="L23">
        <f t="shared" si="2"/>
        <v>-0.69809734989126759</v>
      </c>
      <c r="M23">
        <f t="shared" si="3"/>
        <v>0.43204969984165859</v>
      </c>
      <c r="N23">
        <v>-0.54</v>
      </c>
      <c r="O23">
        <f t="shared" si="4"/>
        <v>-9.4247779607693795E-3</v>
      </c>
      <c r="P23">
        <f t="shared" si="5"/>
        <v>0.31751264971295484</v>
      </c>
      <c r="Q23">
        <f t="shared" si="6"/>
        <v>0.28724010189992344</v>
      </c>
    </row>
    <row r="24" spans="2:17" x14ac:dyDescent="0.25">
      <c r="F24" s="1">
        <v>45810</v>
      </c>
      <c r="G24">
        <v>481.5</v>
      </c>
      <c r="H24">
        <v>658</v>
      </c>
      <c r="I24">
        <f t="shared" si="8"/>
        <v>-30.5</v>
      </c>
      <c r="J24">
        <f t="shared" si="8"/>
        <v>146</v>
      </c>
      <c r="K24">
        <f t="shared" si="1"/>
        <v>149.15176834352317</v>
      </c>
      <c r="L24">
        <f t="shared" si="2"/>
        <v>-0.20594236028249224</v>
      </c>
      <c r="M24">
        <f t="shared" si="3"/>
        <v>0.33381100471968927</v>
      </c>
      <c r="N24">
        <v>-0.42</v>
      </c>
      <c r="O24">
        <f t="shared" si="4"/>
        <v>-7.3303828583761842E-3</v>
      </c>
      <c r="P24">
        <f t="shared" si="5"/>
        <v>0.31918007416903144</v>
      </c>
      <c r="Q24">
        <f t="shared" si="6"/>
        <v>7.062291698004107E-2</v>
      </c>
    </row>
    <row r="28" spans="2:17" x14ac:dyDescent="0.25">
      <c r="D28" t="s">
        <v>2</v>
      </c>
      <c r="E28" t="s">
        <v>3</v>
      </c>
      <c r="F28" t="s">
        <v>4</v>
      </c>
    </row>
    <row r="29" spans="2:17" x14ac:dyDescent="0.25">
      <c r="B29" t="s">
        <v>7</v>
      </c>
      <c r="C29">
        <v>1</v>
      </c>
      <c r="D29">
        <v>512.49900000000002</v>
      </c>
      <c r="E29">
        <v>511.52199999999999</v>
      </c>
      <c r="F29">
        <v>2849.9119999999998</v>
      </c>
    </row>
    <row r="30" spans="2:17" x14ac:dyDescent="0.25">
      <c r="C30">
        <v>2</v>
      </c>
      <c r="D30">
        <v>512.02499999999998</v>
      </c>
      <c r="E30">
        <v>511.95100000000002</v>
      </c>
      <c r="F30">
        <v>2849.9119999999998</v>
      </c>
    </row>
    <row r="31" spans="2:17" x14ac:dyDescent="0.25">
      <c r="C31">
        <v>3</v>
      </c>
      <c r="D31">
        <v>512.01700000000005</v>
      </c>
      <c r="E31">
        <v>511.99700000000001</v>
      </c>
      <c r="F31">
        <v>2843.4270000000001</v>
      </c>
    </row>
    <row r="34" spans="4:5" x14ac:dyDescent="0.25">
      <c r="D34">
        <f>AVERAGE(D29, D30, D31)</f>
        <v>512.18033333333335</v>
      </c>
      <c r="E34">
        <f>AVERAGE(E29, E30, E31)</f>
        <v>511.82333333333332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Meekail Raza</dc:creator>
  <cp:lastModifiedBy>Meekail Raza</cp:lastModifiedBy>
  <dcterms:created xsi:type="dcterms:W3CDTF">2025-03-13T11:09:49Z</dcterms:created>
  <dcterms:modified xsi:type="dcterms:W3CDTF">2025-03-20T09:43:55Z</dcterms:modified>
</cp:coreProperties>
</file>